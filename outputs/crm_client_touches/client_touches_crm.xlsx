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a91da2bc6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a44cd2062d04ba2"/>
    <x:sheet xmlns:r="http://schemas.openxmlformats.org/officeDocument/2006/relationships" name="Contacts" sheetId="2" r:id="R7ba51355246a4987"/>
    <x:sheet xmlns:r="http://schemas.openxmlformats.org/officeDocument/2006/relationships" name="Touch Log" sheetId="3" r:id="R17c4fd6e59464131"/>
    <x:sheet xmlns:r="http://schemas.openxmlformats.org/officeDocument/2006/relationships" name="Follow-up Templates" sheetId="4" r:id="R629a697bf6a74a22"/>
    <x:sheet xmlns:r="http://schemas.openxmlformats.org/officeDocument/2006/relationships" name="Lists" sheetId="5" r:id="R8e55c4006364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0"/>
    <x:numFmt numFmtId="202" formatCode="0.0%"/>
  </x:numFmts>
  <x:fonts count="6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FFFFFF"/>
      <x:name val="Aptos"/>
    </x:font>
    <x:font>
      <x:sz val="10"/>
      <x:color rgb="FF111827"/>
      <x:name val="Aptos"/>
    </x:font>
    <x:font>
      <x:sz val="10"/>
      <x:color rgb="FF475569"/>
      <x:name val="Aptos"/>
    </x:font>
    <x:font>
      <x:b/>
      <x:sz val="13"/>
      <x:color rgb="FF134E4A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ECFEFF"/>
      </x:patternFill>
    </x:fill>
    <x:fill>
      <x:patternFill patternType="solid">
        <x:fgColor rgb="FFCCFBF1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7D2FE"/>
      </x:left>
      <x:right style="thin">
        <x:color rgb="FFC7D2FE"/>
      </x:right>
      <x:top style="thin">
        <x:color rgb="FFC7D2FE"/>
      </x:top>
      <x:bottom style="thin">
        <x:color rgb="FFC7D2FE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top" wrapText="1"/>
    </x:xf>
    <x:xf numFmtId="200" fontId="3" fillId="4" borderId="2" xfId="0" applyNumberFormat="1" applyFont="1" applyFill="1" applyBorder="1" applyAlignment="1">
      <x:alignment vertical="top" wrapText="1"/>
    </x:xf>
    <x:xf numFmtId="201" fontId="3" fillId="4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2" fontId="3" fillId="4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6f3bc7aaf9402f" /><Relationship Type="http://schemas.openxmlformats.org/officeDocument/2006/relationships/theme" Target="/xl/theme/theme1.xml" Id="R724af23873a5418c" /><Relationship Type="http://schemas.openxmlformats.org/officeDocument/2006/relationships/sharedStrings" Target="/xl/sharedStrings.xml" Id="R2b7e31df6d574336" /><Relationship Type="http://schemas.openxmlformats.org/officeDocument/2006/relationships/worksheet" Target="/xl/worksheets/sheet1.xml" Id="R9a44cd2062d04ba2" /><Relationship Type="http://schemas.openxmlformats.org/officeDocument/2006/relationships/worksheet" Target="/xl/worksheets/sheet2.xml" Id="R7ba51355246a4987" /><Relationship Type="http://schemas.openxmlformats.org/officeDocument/2006/relationships/worksheet" Target="/xl/worksheets/sheet3.xml" Id="R17c4fd6e59464131" /><Relationship Type="http://schemas.openxmlformats.org/officeDocument/2006/relationships/worksheet" Target="/xl/worksheets/sheet4.xml" Id="R629a697bf6a74a22" /><Relationship Type="http://schemas.openxmlformats.org/officeDocument/2006/relationships/worksheet" Target="/xl/worksheets/sheet5.xml" Id="R8e55c40063644e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d1f332a35c49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Outreach Status Snapshot</a:t>
            </a:r>
          </a:p>
        </c:rich>
      </c:tx>
      <c:overlay val="0"/>
    </c:title>
    <c:autoTitleDeleted val="0"/>
    <c:plotArea>
      <c:layout/>
      <c:barChart>
        <c:barDir val="col"/>
        <c:varyColors val="0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d1f332a35c49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4ca43b7a9e4b86" /></Relationships>
</file>

<file path=xl/worksheets/sheet1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12.220000267028809" hidden="0" customWidth="1"/>
    <x:col min="3" max="3" width="3.3299999237060547" hidden="0" customWidth="1"/>
    <x:col min="4" max="4" width="17.780000686645508" hidden="0" customWidth="1"/>
    <x:col min="5" max="5" width="10" hidden="0" customWidth="1"/>
    <x:col min="6" max="6" width="3.3299999237060547" hidden="0" customWidth="1"/>
    <x:col min="7" max="7" width="16.670000076293945" hidden="0" customWidth="1"/>
    <x:col min="8" max="8" width="16.670000076293945" hidden="0" customWidth="1"/>
  </x:cols>
  <x:sheetData>
    <x:row r="1">
      <x:c r="A1" s="4" t="str">
        <x:v>Client Touch CRM Dashboard</x:v>
      </x:c>
      <x:c r="B1" s="4"/>
      <x:c r="C1" s="4"/>
      <x:c r="D1" s="4"/>
      <x:c r="E1" s="4"/>
      <x:c r="F1" s="4"/>
      <x:c r="G1" s="4"/>
      <x:c r="H1" s="4"/>
    </x:row>
    <x:row r="2">
      <x:c r="A2" s="19" t="str">
        <x:v>Started reaching out on Jun 7, 2026. Michelle Mgbo is the only prospect marked Responded so far.</x:v>
      </x:c>
      <x:c r="B2" s="19" t="str"/>
      <x:c r="C2" s="19" t="str"/>
      <x:c r="D2" s="19" t="str"/>
      <x:c r="E2" s="19" t="str"/>
      <x:c r="F2" s="19" t="str"/>
      <x:c r="G2" s="19" t="str"/>
      <x:c r="H2" s="19" t="str"/>
    </x:row>
    <x:row r="4">
      <x:c r="A4" s="10" t="str">
        <x:v>Metric</x:v>
      </x:c>
      <x:c r="B4" s="10" t="str">
        <x:v>Value</x:v>
      </x:c>
      <x:c r="C4" s="23"/>
      <x:c r="D4" s="10" t="str">
        <x:v>Status</x:v>
      </x:c>
      <x:c r="E4" s="10" t="str">
        <x:v>Count</x:v>
      </x:c>
    </x:row>
    <x:row r="5" ht="21" customHeight="1">
      <x:c r="A5" s="15" t="str">
        <x:v>Prospects contacted</x:v>
      </x:c>
      <x:c r="B5" s="15" t="n">
        <x:f>COUNTA(Contacts!A4:A30)</x:f>
        <x:v>8</x:v>
      </x:c>
      <x:c r="C5" s="23"/>
      <x:c r="D5" s="15" t="str">
        <x:v>Responded</x:v>
      </x:c>
      <x:c r="E5" s="15" t="n">
        <x:f>COUNTIF(Contacts!F4:F30,"Responded")</x:f>
        <x:v>1</x:v>
      </x:c>
    </x:row>
    <x:row r="6" ht="21" customHeight="1">
      <x:c r="A6" s="15" t="str">
        <x:v>Responded</x:v>
      </x:c>
      <x:c r="B6" s="15" t="n">
        <x:f>COUNTIF(Contacts!F4:F30,"Responded")</x:f>
        <x:v>1</x:v>
      </x:c>
      <x:c r="C6" s="23"/>
      <x:c r="D6" s="15" t="str">
        <x:v>Pending Follow-up</x:v>
      </x:c>
      <x:c r="E6" s="15" t="n">
        <x:f>COUNTIF(Contacts!F4:F30,"Pending Follow-up")</x:f>
        <x:v>7</x:v>
      </x:c>
    </x:row>
    <x:row r="7" ht="21" customHeight="1">
      <x:c r="A7" s="15" t="str">
        <x:v>Pending follow-up</x:v>
      </x:c>
      <x:c r="B7" s="15" t="n">
        <x:f>COUNTIF(Contacts!F4:F30,"Pending Follow-up")</x:f>
        <x:v>7</x:v>
      </x:c>
      <x:c r="C7" s="23"/>
      <x:c r="D7" s="15" t="str">
        <x:v>Follow up today</x:v>
      </x:c>
      <x:c r="E7" s="15" t="n">
        <x:f>COUNTIFS(Contacts!H4:H30,TODAY(),Contacts!F4:F30,"Pending Follow-up")</x:f>
        <x:v>0</x:v>
      </x:c>
    </x:row>
    <x:row r="8" ht="21" customHeight="1">
      <x:c r="A8" s="15" t="str">
        <x:v>Response rate</x:v>
      </x:c>
      <x:c r="B8" s="22" t="n">
        <x:f>IFERROR(B6/B5,0)</x:f>
        <x:v>0.125</x:v>
      </x:c>
      <x:c r="C8" s="23"/>
      <x:c r="D8" s="15" t="str">
        <x:v>Overdue</x:v>
      </x:c>
      <x:c r="E8" s="15" t="n">
        <x:f>COUNTIFS(Contacts!H4:H30,"&lt;"&amp;TODAY(),Contacts!F4:F30,"Pending Follow-up")</x:f>
        <x:v>0</x:v>
      </x:c>
    </x:row>
    <x:row r="9" ht="21" customHeight="1">
      <x:c r="A9" s="15" t="str">
        <x:v>Follow-ups due today</x:v>
      </x:c>
      <x:c r="B9" s="15" t="n">
        <x:f>COUNTIFS(Contacts!H4:H30,TODAY(),Contacts!F4:F30,"Pending Follow-up")</x:f>
        <x:v>0</x:v>
      </x:c>
      <x:c r="C9" s="23"/>
    </x:row>
    <x:row r="10" ht="21" customHeight="1">
      <x:c r="A10" s="15" t="str">
        <x:v>Overdue follow-ups</x:v>
      </x:c>
      <x:c r="B10" s="15" t="n">
        <x:f>COUNTIFS(Contacts!H4:H30,"&lt;"&amp;TODAY(),Contacts!F4:F30,"Pending Follow-up")</x:f>
        <x:v>0</x:v>
      </x:c>
      <x:c r="C10" s="23"/>
    </x:row>
    <x:row r="13">
      <x:c r="A13" s="21" t="str">
        <x:v>Action Queue</x:v>
      </x:c>
      <x:c r="B13" s="21" t="str"/>
      <x:c r="C13" s="21" t="str"/>
      <x:c r="D13" s="21" t="str"/>
      <x:c r="E13" s="21" t="str"/>
      <x:c r="F13" s="21" t="str"/>
      <x:c r="G13" s="21" t="str"/>
      <x:c r="H13" s="21" t="str"/>
    </x:row>
    <x:row r="14">
      <x:c r="A14" s="10" t="str">
        <x:v>Contact</x:v>
      </x:c>
      <x:c r="B14" s="10" t="str">
        <x:v>Status</x:v>
      </x:c>
      <x:c r="C14" s="10" t="str">
        <x:v>Last Touch</x:v>
      </x:c>
      <x:c r="D14" s="10" t="str">
        <x:v>Next Follow-up</x:v>
      </x:c>
      <x:c r="E14" s="10" t="str">
        <x:v>Priority</x:v>
      </x:c>
      <x:c r="F14" s="10" t="str">
        <x:v>Next Action</x:v>
      </x:c>
    </x:row>
    <x:row r="15" ht="25.5" customHeight="1">
      <x:c r="A15" s="15" t="str">
        <x:f>Contacts!A4</x:f>
        <x:v>Constantinos Giannakis</x:v>
      </x:c>
      <x:c r="B15" s="15" t="str">
        <x:f>Contacts!F4</x:f>
        <x:v>Pending Follow-up</x:v>
      </x:c>
      <x:c r="C15" s="16" t="n">
        <x:f>Contacts!E4</x:f>
        <x:v>46181</x:v>
      </x:c>
      <x:c r="D15" s="16" t="n">
        <x:f>Contacts!H4</x:f>
        <x:v>46183</x:v>
      </x:c>
      <x:c r="E15" s="15" t="str">
        <x:f>Contacts!I4</x:f>
        <x:v>Medium</x:v>
      </x:c>
      <x:c r="F15" s="15" t="str">
        <x:f>Contacts!N4</x:f>
        <x:v>Follow up soon</x:v>
      </x:c>
    </x:row>
    <x:row r="16" ht="25.5" customHeight="1">
      <x:c r="A16" s="15" t="str">
        <x:f>Contacts!A5</x:f>
        <x:v>Adriana Alfayate LRI</x:v>
      </x:c>
      <x:c r="B16" s="15" t="str">
        <x:f>Contacts!F5</x:f>
        <x:v>Pending Follow-up</x:v>
      </x:c>
      <x:c r="C16" s="16" t="n">
        <x:f>Contacts!E5</x:f>
        <x:v>46181</x:v>
      </x:c>
      <x:c r="D16" s="16" t="n">
        <x:f>Contacts!H5</x:f>
        <x:v>46183</x:v>
      </x:c>
      <x:c r="E16" s="15" t="str">
        <x:f>Contacts!I5</x:f>
        <x:v>Medium</x:v>
      </x:c>
      <x:c r="F16" s="15" t="str">
        <x:f>Contacts!N5</x:f>
        <x:v>Follow up soon</x:v>
      </x:c>
    </x:row>
    <x:row r="17" ht="25.5" customHeight="1">
      <x:c r="A17" s="15" t="str">
        <x:f>Contacts!A6</x:f>
        <x:v>Khristian Cornelius</x:v>
      </x:c>
      <x:c r="B17" s="15" t="str">
        <x:f>Contacts!F6</x:f>
        <x:v>Pending Follow-up</x:v>
      </x:c>
      <x:c r="C17" s="16" t="n">
        <x:f>Contacts!E6</x:f>
        <x:v>46181</x:v>
      </x:c>
      <x:c r="D17" s="16" t="n">
        <x:f>Contacts!H6</x:f>
        <x:v>46183</x:v>
      </x:c>
      <x:c r="E17" s="15" t="str">
        <x:f>Contacts!I6</x:f>
        <x:v>Medium</x:v>
      </x:c>
      <x:c r="F17" s="15" t="str">
        <x:f>Contacts!N6</x:f>
        <x:v>Follow up soon</x:v>
      </x:c>
    </x:row>
    <x:row r="18" ht="25.5" customHeight="1">
      <x:c r="A18" s="15" t="str">
        <x:f>Contacts!A7</x:f>
        <x:v>Korilynne Hodan, CAM</x:v>
      </x:c>
      <x:c r="B18" s="15" t="str">
        <x:f>Contacts!F7</x:f>
        <x:v>Pending Follow-up</x:v>
      </x:c>
      <x:c r="C18" s="16" t="n">
        <x:f>Contacts!E7</x:f>
        <x:v>46180</x:v>
      </x:c>
      <x:c r="D18" s="16" t="n">
        <x:f>Contacts!H7</x:f>
        <x:v>46183</x:v>
      </x:c>
      <x:c r="E18" s="15" t="str">
        <x:f>Contacts!I7</x:f>
        <x:v>Medium</x:v>
      </x:c>
      <x:c r="F18" s="15" t="str">
        <x:f>Contacts!N7</x:f>
        <x:v>Follow up soon</x:v>
      </x:c>
    </x:row>
    <x:row r="19" ht="25.5" customHeight="1">
      <x:c r="A19" s="15" t="str">
        <x:f>Contacts!A8</x:f>
        <x:v>Michelle Mgbo</x:v>
      </x:c>
      <x:c r="B19" s="15" t="str">
        <x:f>Contacts!F8</x:f>
        <x:v>Responded</x:v>
      </x:c>
      <x:c r="C19" s="16" t="n">
        <x:f>Contacts!E8</x:f>
        <x:v>46180</x:v>
      </x:c>
      <x:c r="D19" s="16" t="n">
        <x:f>Contacts!H8</x:f>
        <x:v>46181</x:v>
      </x:c>
      <x:c r="E19" s="15" t="str">
        <x:f>Contacts!I8</x:f>
        <x:v>High</x:v>
      </x:c>
      <x:c r="F19" s="15" t="str">
        <x:f>Contacts!N8</x:f>
        <x:v>Reply / book next step</x:v>
      </x:c>
    </x:row>
    <x:row r="20" ht="25.5" customHeight="1">
      <x:c r="A20" s="15" t="str">
        <x:f>Contacts!A9</x:f>
        <x:v>Ryan Cassidy</x:v>
      </x:c>
      <x:c r="B20" s="15" t="str">
        <x:f>Contacts!F9</x:f>
        <x:v>Pending Follow-up</x:v>
      </x:c>
      <x:c r="C20" s="16" t="n">
        <x:f>Contacts!E9</x:f>
        <x:v>46180</x:v>
      </x:c>
      <x:c r="D20" s="16" t="n">
        <x:f>Contacts!H9</x:f>
        <x:v>46183</x:v>
      </x:c>
      <x:c r="E20" s="15" t="str">
        <x:f>Contacts!I9</x:f>
        <x:v>Medium</x:v>
      </x:c>
      <x:c r="F20" s="15" t="str">
        <x:f>Contacts!N9</x:f>
        <x:v>Follow up soon</x:v>
      </x:c>
    </x:row>
    <x:row r="21" ht="25.5" customHeight="1">
      <x:c r="A21" s="15" t="str">
        <x:f>Contacts!A10</x:f>
        <x:v>Jessica Coffil, CAM</x:v>
      </x:c>
      <x:c r="B21" s="15" t="str">
        <x:f>Contacts!F10</x:f>
        <x:v>Pending Follow-up</x:v>
      </x:c>
      <x:c r="C21" s="16" t="n">
        <x:f>Contacts!E10</x:f>
        <x:v>46180</x:v>
      </x:c>
      <x:c r="D21" s="16" t="n">
        <x:f>Contacts!H10</x:f>
        <x:v>46183</x:v>
      </x:c>
      <x:c r="E21" s="15" t="str">
        <x:f>Contacts!I10</x:f>
        <x:v>Medium</x:v>
      </x:c>
      <x:c r="F21" s="15" t="str">
        <x:f>Contacts!N10</x:f>
        <x:v>Follow up soon</x:v>
      </x:c>
    </x:row>
    <x:row r="22" ht="25.5" customHeight="1">
      <x:c r="A22" s="15" t="str">
        <x:f>Contacts!A11</x:f>
        <x:v>Josh Hammer</x:v>
      </x:c>
      <x:c r="B22" s="15" t="str">
        <x:f>Contacts!F11</x:f>
        <x:v>Pending Follow-up</x:v>
      </x:c>
      <x:c r="C22" s="16" t="n">
        <x:f>Contacts!E11</x:f>
        <x:v>46180</x:v>
      </x:c>
      <x:c r="D22" s="16" t="n">
        <x:f>Contacts!H11</x:f>
        <x:v>46183</x:v>
      </x:c>
      <x:c r="E22" s="15" t="str">
        <x:f>Contacts!I11</x:f>
        <x:v>Medium</x:v>
      </x:c>
      <x:c r="F22" s="15" t="str">
        <x:f>Contacts!N11</x:f>
        <x:v>Follow up soon</x:v>
      </x:c>
    </x:row>
  </x:sheetData>
  <x:pageMargins left="0.7" right="0.7" top="0.75" bottom="0.75" header="0.3" footer="0.3"/>
  <x:drawing xmlns:r="http://schemas.openxmlformats.org/officeDocument/2006/relationships" r:id="R534ca43b7a9e4b86"/>
</x:worksheet>
</file>

<file path=xl/worksheets/sheet2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17.780000686645508" hidden="0" customWidth="1"/>
    <x:col min="3" max="3" width="10" hidden="0" customWidth="1"/>
    <x:col min="4" max="4" width="13.329999923706055" hidden="0" customWidth="1"/>
    <x:col min="5" max="5" width="13.329999923706055" hidden="0" customWidth="1"/>
    <x:col min="6" max="6" width="16.110000610351562" hidden="0" customWidth="1"/>
    <x:col min="7" max="7" width="13.329999923706055" hidden="0" customWidth="1"/>
    <x:col min="8" max="8" width="15.5600004196167" hidden="0" customWidth="1"/>
    <x:col min="9" max="9" width="10.5600004196167" hidden="0" customWidth="1"/>
    <x:col min="10" max="10" width="10" hidden="0" customWidth="1"/>
    <x:col min="11" max="11" width="31.110000610351562" hidden="0" customWidth="1"/>
    <x:col min="12" max="12" width="33.33000183105469" hidden="0" customWidth="1"/>
    <x:col min="13" max="13" width="12.220000267028809" hidden="0" customWidth="1"/>
    <x:col min="14" max="14" width="17.780000686645508" hidden="0" customWidth="1"/>
  </x:cols>
  <x:sheetData>
    <x:row r="1" ht="25.5" customHeight="1">
      <x:c r="A1" s="4" t="str">
        <x:v>Client Touch CRM - Contacts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24" customHeight="1">
      <x:c r="A3" s="10" t="str">
        <x:v>Contact</x:v>
      </x:c>
      <x:c r="B3" s="10" t="str">
        <x:v>Company / Credential</x:v>
      </x:c>
      <x:c r="C3" s="10" t="str">
        <x:v>Channel</x:v>
      </x:c>
      <x:c r="D3" s="10" t="str">
        <x:v>Initial Touch Date</x:v>
      </x:c>
      <x:c r="E3" s="10" t="str">
        <x:v>Last Touch Date</x:v>
      </x:c>
      <x:c r="F3" s="10" t="str">
        <x:v>Status</x:v>
      </x:c>
      <x:c r="G3" s="10" t="str">
        <x:v>Response Date</x:v>
      </x:c>
      <x:c r="H3" s="10" t="str">
        <x:v>Next Follow-up Date</x:v>
      </x:c>
      <x:c r="I3" s="10" t="str">
        <x:v>Priority</x:v>
      </x:c>
      <x:c r="J3" s="10" t="str">
        <x:v>Owner</x:v>
      </x:c>
      <x:c r="K3" s="10" t="str">
        <x:v>Notes</x:v>
      </x:c>
      <x:c r="L3" s="10" t="str">
        <x:v>Last Message Snippet</x:v>
      </x:c>
      <x:c r="M3" s="10" t="str">
        <x:v>Days Since Last Touch</x:v>
      </x:c>
      <x:c r="N3" s="10" t="str">
        <x:v>Next Action</x:v>
      </x:c>
    </x:row>
    <x:row r="4" ht="31.5" customHeight="1">
      <x:c r="A4" s="15" t="str">
        <x:v>Constantinos Giannakis</x:v>
      </x:c>
      <x:c r="B4" s="15" t="str"/>
      <x:c r="C4" s="15" t="str">
        <x:v>LinkedIn</x:v>
      </x:c>
      <x:c r="D4" s="16" t="n">
        <x:v>46180</x:v>
      </x:c>
      <x:c r="E4" s="16" t="n">
        <x:v>46181</x:v>
      </x:c>
      <x:c r="F4" s="16" t="str">
        <x:v>Pending Follow-up</x:v>
      </x:c>
      <x:c r="G4" s="16" t="str"/>
      <x:c r="H4" s="16" t="n">
        <x:v>46183</x:v>
      </x:c>
      <x:c r="I4" s="15" t="str">
        <x:v>Medium</x:v>
      </x:c>
      <x:c r="J4" s="15" t="str">
        <x:v>Diaoune</x:v>
      </x:c>
      <x:c r="K4" s="15" t="str"/>
      <x:c r="L4" s="15" t="str">
        <x:v>Thanks for connecting, Constantinos. I'm curious: after a...</x:v>
      </x:c>
      <x:c r="M4" s="17" t="n">
        <x:f>IF(E4="","",TODAY()-E4)</x:f>
        <x:v>0</x:v>
      </x:c>
      <x:c r="N4" s="15" t="str">
        <x:f>IF(F4="Responded","Reply / book next step",IF(H4&lt;TODAY(),"Overdue follow-up",IF(H4=TODAY(),"Follow up today",IF(H4-TODAY()&lt;=2,"Follow up soon","Monitor"))))</x:f>
        <x:v>Follow up soon</x:v>
      </x:c>
    </x:row>
    <x:row r="5" ht="31.5" customHeight="1">
      <x:c r="A5" s="15" t="str">
        <x:v>Adriana Alfayate LRI</x:v>
      </x:c>
      <x:c r="B5" s="15" t="str">
        <x:v>LRI</x:v>
      </x:c>
      <x:c r="C5" s="15" t="str">
        <x:v>LinkedIn</x:v>
      </x:c>
      <x:c r="D5" s="16" t="n">
        <x:v>46180</x:v>
      </x:c>
      <x:c r="E5" s="16" t="n">
        <x:v>46181</x:v>
      </x:c>
      <x:c r="F5" s="16" t="str">
        <x:v>Pending Follow-up</x:v>
      </x:c>
      <x:c r="G5" s="16" t="str"/>
      <x:c r="H5" s="16" t="n">
        <x:v>46183</x:v>
      </x:c>
      <x:c r="I5" s="15" t="str">
        <x:v>Medium</x:v>
      </x:c>
      <x:c r="J5" s="15" t="str">
        <x:v>Diaoune</x:v>
      </x:c>
      <x:c r="K5" s="15" t="str"/>
      <x:c r="L5" s="15" t="str">
        <x:v>Thanks for connecting, Adriana. I'm curious: after a...</x:v>
      </x:c>
      <x:c r="M5" s="17" t="n">
        <x:f>IF(E5="","",TODAY()-E5)</x:f>
        <x:v>0</x:v>
      </x:c>
      <x:c r="N5" s="15" t="str">
        <x:f>IF(F5="Responded","Reply / book next step",IF(H5&lt;TODAY(),"Overdue follow-up",IF(H5=TODAY(),"Follow up today",IF(H5-TODAY()&lt;=2,"Follow up soon","Monitor"))))</x:f>
        <x:v>Follow up soon</x:v>
      </x:c>
    </x:row>
    <x:row r="6" ht="31.5" customHeight="1">
      <x:c r="A6" s="15" t="str">
        <x:v>Khristian Cornelius</x:v>
      </x:c>
      <x:c r="B6" s="15" t="str"/>
      <x:c r="C6" s="15" t="str">
        <x:v>LinkedIn</x:v>
      </x:c>
      <x:c r="D6" s="16" t="n">
        <x:v>46180</x:v>
      </x:c>
      <x:c r="E6" s="16" t="n">
        <x:v>46181</x:v>
      </x:c>
      <x:c r="F6" s="16" t="str">
        <x:v>Pending Follow-up</x:v>
      </x:c>
      <x:c r="G6" s="16" t="str"/>
      <x:c r="H6" s="16" t="n">
        <x:v>46183</x:v>
      </x:c>
      <x:c r="I6" s="15" t="str">
        <x:v>Medium</x:v>
      </x:c>
      <x:c r="J6" s="15" t="str">
        <x:v>Diaoune</x:v>
      </x:c>
      <x:c r="K6" s="15" t="str"/>
      <x:c r="L6" s="15" t="str">
        <x:v>Thanks for connecting, Khristian. I'm curious: after a...</x:v>
      </x:c>
      <x:c r="M6" s="17" t="n">
        <x:f>IF(E6="","",TODAY()-E6)</x:f>
        <x:v>0</x:v>
      </x:c>
      <x:c r="N6" s="15" t="str">
        <x:f>IF(F6="Responded","Reply / book next step",IF(H6&lt;TODAY(),"Overdue follow-up",IF(H6=TODAY(),"Follow up today",IF(H6-TODAY()&lt;=2,"Follow up soon","Monitor"))))</x:f>
        <x:v>Follow up soon</x:v>
      </x:c>
    </x:row>
    <x:row r="7" ht="31.5" customHeight="1">
      <x:c r="A7" s="15" t="str">
        <x:v>Korilynne Hodan, CAM</x:v>
      </x:c>
      <x:c r="B7" s="15" t="str">
        <x:v>CAM</x:v>
      </x:c>
      <x:c r="C7" s="15" t="str">
        <x:v>LinkedIn</x:v>
      </x:c>
      <x:c r="D7" s="16" t="n">
        <x:v>46180</x:v>
      </x:c>
      <x:c r="E7" s="16" t="n">
        <x:v>46180</x:v>
      </x:c>
      <x:c r="F7" s="16" t="str">
        <x:v>Pending Follow-up</x:v>
      </x:c>
      <x:c r="G7" s="16" t="str"/>
      <x:c r="H7" s="16" t="n">
        <x:v>46183</x:v>
      </x:c>
      <x:c r="I7" s="15" t="str">
        <x:v>Medium</x:v>
      </x:c>
      <x:c r="J7" s="15" t="str">
        <x:v>Diaoune</x:v>
      </x:c>
      <x:c r="K7" s="15" t="str"/>
      <x:c r="L7" s="15" t="str">
        <x:v>Thanks for connecting, Korilynne. I'm curious: after a...</x:v>
      </x:c>
      <x:c r="M7" s="17" t="n">
        <x:f>IF(E7="","",TODAY()-E7)</x:f>
        <x:v>1</x:v>
      </x:c>
      <x:c r="N7" s="15" t="str">
        <x:f>IF(F7="Responded","Reply / book next step",IF(H7&lt;TODAY(),"Overdue follow-up",IF(H7=TODAY(),"Follow up today",IF(H7-TODAY()&lt;=2,"Follow up soon","Monitor"))))</x:f>
        <x:v>Follow up soon</x:v>
      </x:c>
    </x:row>
    <x:row r="8" ht="31.5" customHeight="1">
      <x:c r="A8" s="15" t="str">
        <x:v>Michelle Mgbo</x:v>
      </x:c>
      <x:c r="B8" s="15" t="str"/>
      <x:c r="C8" s="15" t="str">
        <x:v>LinkedIn</x:v>
      </x:c>
      <x:c r="D8" s="16" t="n">
        <x:v>46180</x:v>
      </x:c>
      <x:c r="E8" s="16" t="n">
        <x:v>46180</x:v>
      </x:c>
      <x:c r="F8" s="16" t="str">
        <x:v>Responded</x:v>
      </x:c>
      <x:c r="G8" s="16" t="n">
        <x:v>46180</x:v>
      </x:c>
      <x:c r="H8" s="16" t="n">
        <x:v>46181</x:v>
      </x:c>
      <x:c r="I8" s="15" t="str">
        <x:v>High</x:v>
      </x:c>
      <x:c r="J8" s="15" t="str">
        <x:v>Diaoune</x:v>
      </x:c>
      <x:c r="K8" s="15" t="str">
        <x:v>Only person who has responded so far. Needs a personalized reply / discovery next step.</x:v>
      </x:c>
      <x:c r="L8" s="15" t="str">
        <x:v>That's exactly what I was wondering. If a follow-up coul...</x:v>
      </x:c>
      <x:c r="M8" s="17" t="n">
        <x:f>IF(E8="","",TODAY()-E8)</x:f>
        <x:v>1</x:v>
      </x:c>
      <x:c r="N8" s="15" t="str">
        <x:f>IF(F8="Responded","Reply / book next step",IF(H8&lt;TODAY(),"Overdue follow-up",IF(H8=TODAY(),"Follow up today",IF(H8-TODAY()&lt;=2,"Follow up soon","Monitor"))))</x:f>
        <x:v>Reply / book next step</x:v>
      </x:c>
    </x:row>
    <x:row r="9" ht="31.5" customHeight="1">
      <x:c r="A9" s="15" t="str">
        <x:v>Ryan Cassidy</x:v>
      </x:c>
      <x:c r="B9" s="15" t="str"/>
      <x:c r="C9" s="15" t="str">
        <x:v>LinkedIn</x:v>
      </x:c>
      <x:c r="D9" s="16" t="n">
        <x:v>46180</x:v>
      </x:c>
      <x:c r="E9" s="16" t="n">
        <x:v>46180</x:v>
      </x:c>
      <x:c r="F9" s="16" t="str">
        <x:v>Pending Follow-up</x:v>
      </x:c>
      <x:c r="G9" s="16" t="str"/>
      <x:c r="H9" s="16" t="n">
        <x:v>46183</x:v>
      </x:c>
      <x:c r="I9" s="15" t="str">
        <x:v>Medium</x:v>
      </x:c>
      <x:c r="J9" s="15" t="str">
        <x:v>Diaoune</x:v>
      </x:c>
      <x:c r="K9" s="15" t="str"/>
      <x:c r="L9" s="15" t="str">
        <x:v>Thanks for connecting, Ryan. I'm curious: after a...</x:v>
      </x:c>
      <x:c r="M9" s="17" t="n">
        <x:f>IF(E9="","",TODAY()-E9)</x:f>
        <x:v>1</x:v>
      </x:c>
      <x:c r="N9" s="15" t="str">
        <x:f>IF(F9="Responded","Reply / book next step",IF(H9&lt;TODAY(),"Overdue follow-up",IF(H9=TODAY(),"Follow up today",IF(H9-TODAY()&lt;=2,"Follow up soon","Monitor"))))</x:f>
        <x:v>Follow up soon</x:v>
      </x:c>
    </x:row>
    <x:row r="10" ht="31.5" customHeight="1">
      <x:c r="A10" s="15" t="str">
        <x:v>Jessica Coffil, CAM</x:v>
      </x:c>
      <x:c r="B10" s="15" t="str">
        <x:v>CAM</x:v>
      </x:c>
      <x:c r="C10" s="15" t="str">
        <x:v>LinkedIn</x:v>
      </x:c>
      <x:c r="D10" s="16" t="n">
        <x:v>46180</x:v>
      </x:c>
      <x:c r="E10" s="16" t="n">
        <x:v>46180</x:v>
      </x:c>
      <x:c r="F10" s="16" t="str">
        <x:v>Pending Follow-up</x:v>
      </x:c>
      <x:c r="G10" s="16" t="str"/>
      <x:c r="H10" s="16" t="n">
        <x:v>46183</x:v>
      </x:c>
      <x:c r="I10" s="15" t="str">
        <x:v>Medium</x:v>
      </x:c>
      <x:c r="J10" s="15" t="str">
        <x:v>Diaoune</x:v>
      </x:c>
      <x:c r="K10" s="15" t="str"/>
      <x:c r="L10" s="15" t="str">
        <x:v>Thanks for connecting, Jessica. I'm curious: after a...</x:v>
      </x:c>
      <x:c r="M10" s="17" t="n">
        <x:f>IF(E10="","",TODAY()-E10)</x:f>
        <x:v>1</x:v>
      </x:c>
      <x:c r="N10" s="15" t="str">
        <x:f>IF(F10="Responded","Reply / book next step",IF(H10&lt;TODAY(),"Overdue follow-up",IF(H10=TODAY(),"Follow up today",IF(H10-TODAY()&lt;=2,"Follow up soon","Monitor"))))</x:f>
        <x:v>Follow up soon</x:v>
      </x:c>
    </x:row>
    <x:row r="11" ht="31.5" customHeight="1">
      <x:c r="A11" s="15" t="str">
        <x:v>Josh Hammer</x:v>
      </x:c>
      <x:c r="B11" s="15" t="str"/>
      <x:c r="C11" s="15" t="str">
        <x:v>LinkedIn</x:v>
      </x:c>
      <x:c r="D11" s="16" t="n">
        <x:v>46180</x:v>
      </x:c>
      <x:c r="E11" s="16" t="n">
        <x:v>46180</x:v>
      </x:c>
      <x:c r="F11" s="16" t="str">
        <x:v>Pending Follow-up</x:v>
      </x:c>
      <x:c r="G11" s="16" t="str"/>
      <x:c r="H11" s="16" t="n">
        <x:v>46183</x:v>
      </x:c>
      <x:c r="I11" s="15" t="str">
        <x:v>Medium</x:v>
      </x:c>
      <x:c r="J11" s="15" t="str">
        <x:v>Diaoune</x:v>
      </x:c>
      <x:c r="K11" s="15" t="str"/>
      <x:c r="L11" s="15" t="str">
        <x:v>Thanks for connecting, Josh. I'm curious: after a...</x:v>
      </x:c>
      <x:c r="M11" s="17" t="n">
        <x:f>IF(E11="","",TODAY()-E11)</x:f>
        <x:v>1</x:v>
      </x:c>
      <x:c r="N11" s="15" t="str">
        <x:f>IF(F11="Responded","Reply / book next step",IF(H11&lt;TODAY(),"Overdue follow-up",IF(H11=TODAY(),"Follow up today",IF(H11-TODAY()&lt;=2,"Follow up soon","Monitor"))))</x:f>
        <x:v>Follow up soon</x:v>
      </x:c>
    </x:row>
    <x:row r="12" ht="31.5" customHeight="1">
      <x:c r="A12" s="15"/>
      <x:c r="B12" s="15"/>
      <x:c r="C12" s="15"/>
      <x:c r="D12" s="16"/>
      <x:c r="E12" s="16"/>
      <x:c r="F12" s="16"/>
      <x:c r="G12" s="16"/>
      <x:c r="H12" s="16"/>
      <x:c r="I12" s="15"/>
      <x:c r="J12" s="15"/>
      <x:c r="K12" s="15"/>
      <x:c r="L12" s="15"/>
      <x:c r="M12" s="17"/>
      <x:c r="N12" s="15"/>
    </x:row>
    <x:row r="13" ht="31.5" customHeight="1">
      <x:c r="A13" s="15"/>
      <x:c r="B13" s="15"/>
      <x:c r="C13" s="15"/>
      <x:c r="D13" s="16"/>
      <x:c r="E13" s="16"/>
      <x:c r="F13" s="16"/>
      <x:c r="G13" s="16"/>
      <x:c r="H13" s="16"/>
      <x:c r="I13" s="15"/>
      <x:c r="J13" s="15"/>
      <x:c r="K13" s="15"/>
      <x:c r="L13" s="15"/>
      <x:c r="M13" s="17"/>
      <x:c r="N13" s="15"/>
    </x:row>
    <x:row r="14" ht="31.5" customHeight="1">
      <x:c r="A14" s="15"/>
      <x:c r="B14" s="15"/>
      <x:c r="C14" s="15"/>
      <x:c r="D14" s="16"/>
      <x:c r="E14" s="16"/>
      <x:c r="F14" s="16"/>
      <x:c r="G14" s="16"/>
      <x:c r="H14" s="16"/>
      <x:c r="I14" s="15"/>
      <x:c r="J14" s="15"/>
      <x:c r="K14" s="15"/>
      <x:c r="L14" s="15"/>
      <x:c r="M14" s="17"/>
      <x:c r="N14" s="15"/>
    </x:row>
    <x:row r="15" ht="31.5" customHeight="1">
      <x:c r="A15" s="15"/>
      <x:c r="B15" s="15"/>
      <x:c r="C15" s="15"/>
      <x:c r="D15" s="16"/>
      <x:c r="E15" s="16"/>
      <x:c r="F15" s="16"/>
      <x:c r="G15" s="16"/>
      <x:c r="H15" s="16"/>
      <x:c r="I15" s="15"/>
      <x:c r="J15" s="15"/>
      <x:c r="K15" s="15"/>
      <x:c r="L15" s="15"/>
      <x:c r="M15" s="17"/>
      <x:c r="N15" s="15"/>
    </x:row>
    <x:row r="16" ht="31.5" customHeight="1">
      <x:c r="A16" s="15"/>
      <x:c r="B16" s="15"/>
      <x:c r="C16" s="15"/>
      <x:c r="D16" s="16"/>
      <x:c r="E16" s="16"/>
      <x:c r="F16" s="16"/>
      <x:c r="G16" s="16"/>
      <x:c r="H16" s="16"/>
      <x:c r="I16" s="15"/>
      <x:c r="J16" s="15"/>
      <x:c r="K16" s="15"/>
      <x:c r="L16" s="15"/>
      <x:c r="M16" s="17"/>
      <x:c r="N16" s="15"/>
    </x:row>
    <x:row r="17" ht="31.5" customHeight="1">
      <x:c r="A17" s="15"/>
      <x:c r="B17" s="15"/>
      <x:c r="C17" s="15"/>
      <x:c r="D17" s="16"/>
      <x:c r="E17" s="16"/>
      <x:c r="F17" s="16"/>
      <x:c r="G17" s="16"/>
      <x:c r="H17" s="16"/>
      <x:c r="I17" s="15"/>
      <x:c r="J17" s="15"/>
      <x:c r="K17" s="15"/>
      <x:c r="L17" s="15"/>
      <x:c r="M17" s="17"/>
      <x:c r="N17" s="15"/>
    </x:row>
    <x:row r="18" ht="31.5" customHeight="1">
      <x:c r="A18" s="15"/>
      <x:c r="B18" s="15"/>
      <x:c r="C18" s="15"/>
      <x:c r="D18" s="16"/>
      <x:c r="E18" s="16"/>
      <x:c r="F18" s="16"/>
      <x:c r="G18" s="16"/>
      <x:c r="H18" s="16"/>
      <x:c r="I18" s="15"/>
      <x:c r="J18" s="15"/>
      <x:c r="K18" s="15"/>
      <x:c r="L18" s="15"/>
      <x:c r="M18" s="17"/>
      <x:c r="N18" s="15"/>
    </x:row>
    <x:row r="19" ht="31.5" customHeight="1">
      <x:c r="A19" s="15"/>
      <x:c r="B19" s="15"/>
      <x:c r="C19" s="15"/>
      <x:c r="D19" s="16"/>
      <x:c r="E19" s="16"/>
      <x:c r="F19" s="16"/>
      <x:c r="G19" s="16"/>
      <x:c r="H19" s="16"/>
      <x:c r="I19" s="15"/>
      <x:c r="J19" s="15"/>
      <x:c r="K19" s="15"/>
      <x:c r="L19" s="15"/>
      <x:c r="M19" s="17"/>
      <x:c r="N19" s="15"/>
    </x:row>
    <x:row r="20" ht="31.5" customHeight="1">
      <x:c r="A20" s="15"/>
      <x:c r="B20" s="15"/>
      <x:c r="C20" s="15"/>
      <x:c r="D20" s="16"/>
      <x:c r="E20" s="16"/>
      <x:c r="F20" s="16"/>
      <x:c r="G20" s="16"/>
      <x:c r="H20" s="16"/>
      <x:c r="I20" s="15"/>
      <x:c r="J20" s="15"/>
      <x:c r="K20" s="15"/>
      <x:c r="L20" s="15"/>
      <x:c r="M20" s="17"/>
      <x:c r="N20" s="15"/>
    </x:row>
    <x:row r="21" ht="31.5" customHeight="1">
      <x:c r="A21" s="15"/>
      <x:c r="B21" s="15"/>
      <x:c r="C21" s="15"/>
      <x:c r="D21" s="16"/>
      <x:c r="E21" s="16"/>
      <x:c r="F21" s="16"/>
      <x:c r="G21" s="16"/>
      <x:c r="H21" s="16"/>
      <x:c r="I21" s="15"/>
      <x:c r="J21" s="15"/>
      <x:c r="K21" s="15"/>
      <x:c r="L21" s="15"/>
      <x:c r="M21" s="17"/>
      <x:c r="N21" s="15"/>
    </x:row>
    <x:row r="22" ht="31.5" customHeight="1">
      <x:c r="A22" s="15"/>
      <x:c r="B22" s="15"/>
      <x:c r="C22" s="15"/>
      <x:c r="D22" s="16"/>
      <x:c r="E22" s="16"/>
      <x:c r="F22" s="16"/>
      <x:c r="G22" s="16"/>
      <x:c r="H22" s="16"/>
      <x:c r="I22" s="15"/>
      <x:c r="J22" s="15"/>
      <x:c r="K22" s="15"/>
      <x:c r="L22" s="15"/>
      <x:c r="M22" s="17"/>
      <x:c r="N22" s="15"/>
    </x:row>
    <x:row r="23" ht="31.5" customHeight="1">
      <x:c r="A23" s="15"/>
      <x:c r="B23" s="15"/>
      <x:c r="C23" s="15"/>
      <x:c r="D23" s="16"/>
      <x:c r="E23" s="16"/>
      <x:c r="F23" s="16"/>
      <x:c r="G23" s="16"/>
      <x:c r="H23" s="16"/>
      <x:c r="I23" s="15"/>
      <x:c r="J23" s="15"/>
      <x:c r="K23" s="15"/>
      <x:c r="L23" s="15"/>
      <x:c r="M23" s="17"/>
      <x:c r="N23" s="15"/>
    </x:row>
    <x:row r="24" ht="31.5" customHeight="1">
      <x:c r="A24" s="15"/>
      <x:c r="B24" s="15"/>
      <x:c r="C24" s="15"/>
      <x:c r="D24" s="16"/>
      <x:c r="E24" s="16"/>
      <x:c r="F24" s="16"/>
      <x:c r="G24" s="16"/>
      <x:c r="H24" s="16"/>
      <x:c r="I24" s="15"/>
      <x:c r="J24" s="15"/>
      <x:c r="K24" s="15"/>
      <x:c r="L24" s="15"/>
      <x:c r="M24" s="17"/>
      <x:c r="N24" s="15"/>
    </x:row>
    <x:row r="25" ht="31.5" customHeight="1">
      <x:c r="A25" s="15"/>
      <x:c r="B25" s="15"/>
      <x:c r="C25" s="15"/>
      <x:c r="D25" s="16"/>
      <x:c r="E25" s="16"/>
      <x:c r="F25" s="16"/>
      <x:c r="G25" s="16"/>
      <x:c r="H25" s="16"/>
      <x:c r="I25" s="15"/>
      <x:c r="J25" s="15"/>
      <x:c r="K25" s="15"/>
      <x:c r="L25" s="15"/>
      <x:c r="M25" s="17"/>
      <x:c r="N25" s="15"/>
    </x:row>
    <x:row r="26" ht="31.5" customHeight="1">
      <x:c r="A26" s="15"/>
      <x:c r="B26" s="15"/>
      <x:c r="C26" s="15"/>
      <x:c r="D26" s="16"/>
      <x:c r="E26" s="16"/>
      <x:c r="F26" s="16"/>
      <x:c r="G26" s="16"/>
      <x:c r="H26" s="16"/>
      <x:c r="I26" s="15"/>
      <x:c r="J26" s="15"/>
      <x:c r="K26" s="15"/>
      <x:c r="L26" s="15"/>
      <x:c r="M26" s="17"/>
      <x:c r="N26" s="15"/>
    </x:row>
    <x:row r="27" ht="31.5" customHeight="1">
      <x:c r="A27" s="15"/>
      <x:c r="B27" s="15"/>
      <x:c r="C27" s="15"/>
      <x:c r="D27" s="16"/>
      <x:c r="E27" s="16"/>
      <x:c r="F27" s="16"/>
      <x:c r="G27" s="16"/>
      <x:c r="H27" s="16"/>
      <x:c r="I27" s="15"/>
      <x:c r="J27" s="15"/>
      <x:c r="K27" s="15"/>
      <x:c r="L27" s="15"/>
      <x:c r="M27" s="17"/>
      <x:c r="N27" s="15"/>
    </x:row>
    <x:row r="28" ht="31.5" customHeight="1">
      <x:c r="A28" s="15"/>
      <x:c r="B28" s="15"/>
      <x:c r="C28" s="15"/>
      <x:c r="D28" s="16"/>
      <x:c r="E28" s="16"/>
      <x:c r="F28" s="16"/>
      <x:c r="G28" s="16"/>
      <x:c r="H28" s="16"/>
      <x:c r="I28" s="15"/>
      <x:c r="J28" s="15"/>
      <x:c r="K28" s="15"/>
      <x:c r="L28" s="15"/>
      <x:c r="M28" s="17"/>
      <x:c r="N28" s="15"/>
    </x:row>
    <x:row r="29" ht="31.5" customHeight="1">
      <x:c r="A29" s="15"/>
      <x:c r="B29" s="15"/>
      <x:c r="C29" s="15"/>
      <x:c r="D29" s="16"/>
      <x:c r="E29" s="16"/>
      <x:c r="F29" s="16"/>
      <x:c r="G29" s="16"/>
      <x:c r="H29" s="16"/>
      <x:c r="I29" s="15"/>
      <x:c r="J29" s="15"/>
      <x:c r="K29" s="15"/>
      <x:c r="L29" s="15"/>
      <x:c r="M29" s="17"/>
      <x:c r="N29" s="15"/>
    </x:row>
    <x:row r="30" ht="31.5" customHeight="1">
      <x:c r="A30" s="15"/>
      <x:c r="B30" s="15"/>
      <x:c r="C30" s="15"/>
      <x:c r="D30" s="16"/>
      <x:c r="E30" s="16"/>
      <x:c r="F30" s="16"/>
      <x:c r="G30" s="16"/>
      <x:c r="H30" s="16"/>
      <x:c r="I30" s="15"/>
      <x:c r="J30" s="15"/>
      <x:c r="K30" s="15"/>
      <x:c r="L30" s="15"/>
      <x:c r="M30" s="17"/>
      <x:c r="N30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779999732971191" hidden="0" customWidth="1"/>
    <x:col min="2" max="2" width="21.110000610351562" hidden="0" customWidth="1"/>
    <x:col min="3" max="3" width="10" hidden="0" customWidth="1"/>
    <x:col min="4" max="4" width="16.670000076293945" hidden="0" customWidth="1"/>
    <x:col min="5" max="5" width="10.5600004196167" hidden="0" customWidth="1"/>
    <x:col min="6" max="6" width="13.329999923706055" hidden="0" customWidth="1"/>
    <x:col min="7" max="7" width="40" hidden="0" customWidth="1"/>
    <x:col min="8" max="8" width="28.889999389648438" hidden="0" customWidth="1"/>
  </x:cols>
  <x:sheetData>
    <x:row r="1" ht="25.5" customHeight="1">
      <x:c r="A1" s="4" t="str">
        <x:v>Touch Log</x:v>
      </x:c>
      <x:c r="B1" s="4"/>
      <x:c r="C1" s="4"/>
      <x:c r="D1" s="4"/>
      <x:c r="E1" s="4"/>
      <x:c r="F1" s="4"/>
      <x:c r="G1" s="4"/>
      <x:c r="H1" s="4"/>
    </x:row>
    <x:row r="3" ht="24" customHeight="1">
      <x:c r="A3" s="10" t="str">
        <x:v>Date</x:v>
      </x:c>
      <x:c r="B3" s="10" t="str">
        <x:v>Contact</x:v>
      </x:c>
      <x:c r="C3" s="10" t="str">
        <x:v>Channel</x:v>
      </x:c>
      <x:c r="D3" s="10" t="str">
        <x:v>Touch Type</x:v>
      </x:c>
      <x:c r="E3" s="10" t="str">
        <x:v>Direction</x:v>
      </x:c>
      <x:c r="F3" s="10" t="str">
        <x:v>Outcome</x:v>
      </x:c>
      <x:c r="G3" s="10" t="str">
        <x:v>Message / Notes</x:v>
      </x:c>
      <x:c r="H3" s="10" t="str">
        <x:v>Next Step</x:v>
      </x:c>
    </x:row>
    <x:row r="4" ht="31.5" customHeight="1">
      <x:c r="A4" s="16" t="n">
        <x:v>46180</x:v>
      </x:c>
      <x:c r="B4" s="15" t="str">
        <x:v>Constantinos Giannakis</x:v>
      </x:c>
      <x:c r="C4" s="15" t="str">
        <x:v>LinkedIn</x:v>
      </x:c>
      <x:c r="D4" s="15" t="str">
        <x:v>Connection follow-up</x:v>
      </x:c>
      <x:c r="E4" s="15" t="str">
        <x:v>Outbound</x:v>
      </x:c>
      <x:c r="F4" s="15" t="str">
        <x:v>No response yet</x:v>
      </x:c>
      <x:c r="G4" s="15" t="str">
        <x:v>Thanks for connecting, Constantinos. I'm curious: after a...</x:v>
      </x:c>
      <x:c r="H4" s="15" t="str">
        <x:v>Follow up if no reply by Jun 10.</x:v>
      </x:c>
    </x:row>
    <x:row r="5" ht="31.5" customHeight="1">
      <x:c r="A5" s="16" t="n">
        <x:v>46180</x:v>
      </x:c>
      <x:c r="B5" s="15" t="str">
        <x:v>Adriana Alfayate LRI</x:v>
      </x:c>
      <x:c r="C5" s="15" t="str">
        <x:v>LinkedIn</x:v>
      </x:c>
      <x:c r="D5" s="15" t="str">
        <x:v>Connection follow-up</x:v>
      </x:c>
      <x:c r="E5" s="15" t="str">
        <x:v>Outbound</x:v>
      </x:c>
      <x:c r="F5" s="15" t="str">
        <x:v>No response yet</x:v>
      </x:c>
      <x:c r="G5" s="15" t="str">
        <x:v>Thanks for connecting, Adriana. I'm curious: after a...</x:v>
      </x:c>
      <x:c r="H5" s="15" t="str">
        <x:v>Follow up if no reply by Jun 10.</x:v>
      </x:c>
    </x:row>
    <x:row r="6" ht="31.5" customHeight="1">
      <x:c r="A6" s="16" t="n">
        <x:v>46180</x:v>
      </x:c>
      <x:c r="B6" s="15" t="str">
        <x:v>Khristian Cornelius</x:v>
      </x:c>
      <x:c r="C6" s="15" t="str">
        <x:v>LinkedIn</x:v>
      </x:c>
      <x:c r="D6" s="15" t="str">
        <x:v>Connection follow-up</x:v>
      </x:c>
      <x:c r="E6" s="15" t="str">
        <x:v>Outbound</x:v>
      </x:c>
      <x:c r="F6" s="15" t="str">
        <x:v>No response yet</x:v>
      </x:c>
      <x:c r="G6" s="15" t="str">
        <x:v>Thanks for connecting, Khristian. I'm curious: after a...</x:v>
      </x:c>
      <x:c r="H6" s="15" t="str">
        <x:v>Follow up if no reply by Jun 10.</x:v>
      </x:c>
    </x:row>
    <x:row r="7" ht="31.5" customHeight="1">
      <x:c r="A7" s="16" t="n">
        <x:v>46180</x:v>
      </x:c>
      <x:c r="B7" s="15" t="str">
        <x:v>Korilynne Hodan, CAM</x:v>
      </x:c>
      <x:c r="C7" s="15" t="str">
        <x:v>LinkedIn</x:v>
      </x:c>
      <x:c r="D7" s="15" t="str">
        <x:v>Connection follow-up</x:v>
      </x:c>
      <x:c r="E7" s="15" t="str">
        <x:v>Outbound</x:v>
      </x:c>
      <x:c r="F7" s="15" t="str">
        <x:v>No response yet</x:v>
      </x:c>
      <x:c r="G7" s="15" t="str">
        <x:v>Thanks for connecting, Korilynne. I'm curious: after a...</x:v>
      </x:c>
      <x:c r="H7" s="15" t="str">
        <x:v>Follow up if no reply by Jun 10.</x:v>
      </x:c>
    </x:row>
    <x:row r="8" ht="31.5" customHeight="1">
      <x:c r="A8" s="16" t="n">
        <x:v>46180</x:v>
      </x:c>
      <x:c r="B8" s="15" t="str">
        <x:v>Michelle Mgbo</x:v>
      </x:c>
      <x:c r="C8" s="15" t="str">
        <x:v>LinkedIn</x:v>
      </x:c>
      <x:c r="D8" s="15" t="str">
        <x:v>Connection follow-up</x:v>
      </x:c>
      <x:c r="E8" s="15" t="str">
        <x:v>Outbound</x:v>
      </x:c>
      <x:c r="F8" s="15" t="str">
        <x:v>Responded</x:v>
      </x:c>
      <x:c r="G8" s="15" t="str">
        <x:v>That's exactly what I was wondering. If a follow-up coul...</x:v>
      </x:c>
      <x:c r="H8" s="15" t="str">
        <x:v>Send personalized reply and book next conversation.</x:v>
      </x:c>
    </x:row>
    <x:row r="9" ht="31.5" customHeight="1">
      <x:c r="A9" s="16" t="n">
        <x:v>46180</x:v>
      </x:c>
      <x:c r="B9" s="15" t="str">
        <x:v>Ryan Cassidy</x:v>
      </x:c>
      <x:c r="C9" s="15" t="str">
        <x:v>LinkedIn</x:v>
      </x:c>
      <x:c r="D9" s="15" t="str">
        <x:v>Connection follow-up</x:v>
      </x:c>
      <x:c r="E9" s="15" t="str">
        <x:v>Outbound</x:v>
      </x:c>
      <x:c r="F9" s="15" t="str">
        <x:v>No response yet</x:v>
      </x:c>
      <x:c r="G9" s="15" t="str">
        <x:v>Thanks for connecting, Ryan. I'm curious: after a...</x:v>
      </x:c>
      <x:c r="H9" s="15" t="str">
        <x:v>Follow up if no reply by Jun 10.</x:v>
      </x:c>
    </x:row>
    <x:row r="10" ht="31.5" customHeight="1">
      <x:c r="A10" s="16" t="n">
        <x:v>46180</x:v>
      </x:c>
      <x:c r="B10" s="15" t="str">
        <x:v>Jessica Coffil, CAM</x:v>
      </x:c>
      <x:c r="C10" s="15" t="str">
        <x:v>LinkedIn</x:v>
      </x:c>
      <x:c r="D10" s="15" t="str">
        <x:v>Connection follow-up</x:v>
      </x:c>
      <x:c r="E10" s="15" t="str">
        <x:v>Outbound</x:v>
      </x:c>
      <x:c r="F10" s="15" t="str">
        <x:v>No response yet</x:v>
      </x:c>
      <x:c r="G10" s="15" t="str">
        <x:v>Thanks for connecting, Jessica. I'm curious: after a...</x:v>
      </x:c>
      <x:c r="H10" s="15" t="str">
        <x:v>Follow up if no reply by Jun 10.</x:v>
      </x:c>
    </x:row>
    <x:row r="11" ht="31.5" customHeight="1">
      <x:c r="A11" s="16" t="n">
        <x:v>46180</x:v>
      </x:c>
      <x:c r="B11" s="15" t="str">
        <x:v>Josh Hammer</x:v>
      </x:c>
      <x:c r="C11" s="15" t="str">
        <x:v>LinkedIn</x:v>
      </x:c>
      <x:c r="D11" s="15" t="str">
        <x:v>Connection follow-up</x:v>
      </x:c>
      <x:c r="E11" s="15" t="str">
        <x:v>Outbound</x:v>
      </x:c>
      <x:c r="F11" s="15" t="str">
        <x:v>No response yet</x:v>
      </x:c>
      <x:c r="G11" s="15" t="str">
        <x:v>Thanks for connecting, Josh. I'm curious: after a...</x:v>
      </x:c>
      <x:c r="H11" s="15" t="str">
        <x:v>Follow up if no reply by Jun 10.</x:v>
      </x:c>
    </x:row>
    <x:row r="12" ht="31.5" customHeight="1">
      <x:c r="A12" s="16"/>
      <x:c r="B12" s="15"/>
      <x:c r="C12" s="15"/>
      <x:c r="D12" s="15"/>
      <x:c r="E12" s="15"/>
      <x:c r="F12" s="15"/>
      <x:c r="G12" s="15"/>
      <x:c r="H12" s="15"/>
    </x:row>
    <x:row r="13" ht="31.5" customHeight="1">
      <x:c r="A13" s="16"/>
      <x:c r="B13" s="15"/>
      <x:c r="C13" s="15"/>
      <x:c r="D13" s="15"/>
      <x:c r="E13" s="15"/>
      <x:c r="F13" s="15"/>
      <x:c r="G13" s="15"/>
      <x:c r="H13" s="15"/>
    </x:row>
    <x:row r="14" ht="31.5" customHeight="1">
      <x:c r="A14" s="16"/>
      <x:c r="B14" s="15"/>
      <x:c r="C14" s="15"/>
      <x:c r="D14" s="15"/>
      <x:c r="E14" s="15"/>
      <x:c r="F14" s="15"/>
      <x:c r="G14" s="15"/>
      <x:c r="H14" s="15"/>
    </x:row>
    <x:row r="15" ht="31.5" customHeight="1">
      <x:c r="A15" s="16"/>
      <x:c r="B15" s="15"/>
      <x:c r="C15" s="15"/>
      <x:c r="D15" s="15"/>
      <x:c r="E15" s="15"/>
      <x:c r="F15" s="15"/>
      <x:c r="G15" s="15"/>
      <x:c r="H15" s="15"/>
    </x:row>
    <x:row r="16" ht="31.5" customHeight="1">
      <x:c r="A16" s="16"/>
      <x:c r="B16" s="15"/>
      <x:c r="C16" s="15"/>
      <x:c r="D16" s="15"/>
      <x:c r="E16" s="15"/>
      <x:c r="F16" s="15"/>
      <x:c r="G16" s="15"/>
      <x:c r="H16" s="15"/>
    </x:row>
    <x:row r="17" ht="31.5" customHeight="1">
      <x:c r="A17" s="16"/>
      <x:c r="B17" s="15"/>
      <x:c r="C17" s="15"/>
      <x:c r="D17" s="15"/>
      <x:c r="E17" s="15"/>
      <x:c r="F17" s="15"/>
      <x:c r="G17" s="15"/>
      <x:c r="H17" s="15"/>
    </x:row>
    <x:row r="18" ht="31.5" customHeight="1">
      <x:c r="A18" s="16"/>
      <x:c r="B18" s="15"/>
      <x:c r="C18" s="15"/>
      <x:c r="D18" s="15"/>
      <x:c r="E18" s="15"/>
      <x:c r="F18" s="15"/>
      <x:c r="G18" s="15"/>
      <x:c r="H18" s="15"/>
    </x:row>
    <x:row r="19" ht="31.5" customHeight="1">
      <x:c r="A19" s="16"/>
      <x:c r="B19" s="15"/>
      <x:c r="C19" s="15"/>
      <x:c r="D19" s="15"/>
      <x:c r="E19" s="15"/>
      <x:c r="F19" s="15"/>
      <x:c r="G19" s="15"/>
      <x:c r="H19" s="15"/>
    </x:row>
    <x:row r="20" ht="31.5" customHeight="1">
      <x:c r="A20" s="16"/>
      <x:c r="B20" s="15"/>
      <x:c r="C20" s="15"/>
      <x:c r="D20" s="15"/>
      <x:c r="E20" s="15"/>
      <x:c r="F20" s="15"/>
      <x:c r="G20" s="15"/>
      <x:c r="H20" s="15"/>
    </x:row>
    <x:row r="21" ht="31.5" customHeight="1">
      <x:c r="A21" s="16"/>
      <x:c r="B21" s="15"/>
      <x:c r="C21" s="15"/>
      <x:c r="D21" s="15"/>
      <x:c r="E21" s="15"/>
      <x:c r="F21" s="15"/>
      <x:c r="G21" s="15"/>
      <x:c r="H21" s="15"/>
    </x:row>
    <x:row r="22" ht="31.5" customHeight="1">
      <x:c r="A22" s="16"/>
      <x:c r="B22" s="15"/>
      <x:c r="C22" s="15"/>
      <x:c r="D22" s="15"/>
      <x:c r="E22" s="15"/>
      <x:c r="F22" s="15"/>
      <x:c r="G22" s="15"/>
      <x:c r="H22" s="15"/>
    </x:row>
    <x:row r="23" ht="31.5" customHeight="1">
      <x:c r="A23" s="16"/>
      <x:c r="B23" s="15"/>
      <x:c r="C23" s="15"/>
      <x:c r="D23" s="15"/>
      <x:c r="E23" s="15"/>
      <x:c r="F23" s="15"/>
      <x:c r="G23" s="15"/>
      <x:c r="H23" s="15"/>
    </x:row>
    <x:row r="24" ht="31.5" customHeight="1">
      <x:c r="A24" s="16"/>
      <x:c r="B24" s="15"/>
      <x:c r="C24" s="15"/>
      <x:c r="D24" s="15"/>
      <x:c r="E24" s="15"/>
      <x:c r="F24" s="15"/>
      <x:c r="G24" s="15"/>
      <x:c r="H24" s="15"/>
    </x:row>
    <x:row r="25" ht="31.5" customHeight="1">
      <x:c r="A25" s="16"/>
      <x:c r="B25" s="15"/>
      <x:c r="C25" s="15"/>
      <x:c r="D25" s="15"/>
      <x:c r="E25" s="15"/>
      <x:c r="F25" s="15"/>
      <x:c r="G25" s="15"/>
      <x:c r="H25" s="15"/>
    </x:row>
    <x:row r="26" ht="31.5" customHeight="1">
      <x:c r="A26" s="16"/>
      <x:c r="B26" s="15"/>
      <x:c r="C26" s="15"/>
      <x:c r="D26" s="15"/>
      <x:c r="E26" s="15"/>
      <x:c r="F26" s="15"/>
      <x:c r="G26" s="15"/>
      <x:c r="H26" s="15"/>
    </x:row>
    <x:row r="27" ht="31.5" customHeight="1">
      <x:c r="A27" s="16"/>
      <x:c r="B27" s="15"/>
      <x:c r="C27" s="15"/>
      <x:c r="D27" s="15"/>
      <x:c r="E27" s="15"/>
      <x:c r="F27" s="15"/>
      <x:c r="G27" s="15"/>
      <x:c r="H27" s="15"/>
    </x:row>
    <x:row r="28" ht="31.5" customHeight="1">
      <x:c r="A28" s="16"/>
      <x:c r="B28" s="15"/>
      <x:c r="C28" s="15"/>
      <x:c r="D28" s="15"/>
      <x:c r="E28" s="15"/>
      <x:c r="F28" s="15"/>
      <x:c r="G28" s="15"/>
      <x:c r="H28" s="15"/>
    </x:row>
    <x:row r="29" ht="31.5" customHeight="1">
      <x:c r="A29" s="16"/>
      <x:c r="B29" s="15"/>
      <x:c r="C29" s="15"/>
      <x:c r="D29" s="15"/>
      <x:c r="E29" s="15"/>
      <x:c r="F29" s="15"/>
      <x:c r="G29" s="15"/>
      <x:c r="H29" s="15"/>
    </x:row>
    <x:row r="30" ht="31.5" customHeight="1">
      <x:c r="A30" s="16"/>
      <x:c r="B30" s="15"/>
      <x:c r="C30" s="15"/>
      <x:c r="D30" s="15"/>
      <x:c r="E30" s="15"/>
      <x:c r="F30" s="15"/>
      <x:c r="G30" s="15"/>
      <x:c r="H30" s="15"/>
    </x:row>
    <x:row r="31" ht="31.5" customHeight="1">
      <x:c r="A31" s="16"/>
      <x:c r="B31" s="15"/>
      <x:c r="C31" s="15"/>
      <x:c r="D31" s="15"/>
      <x:c r="E31" s="15"/>
      <x:c r="F31" s="15"/>
      <x:c r="G31" s="15"/>
      <x:c r="H31" s="15"/>
    </x:row>
    <x:row r="32" ht="31.5" customHeight="1">
      <x:c r="A32" s="16"/>
      <x:c r="B32" s="15"/>
      <x:c r="C32" s="15"/>
      <x:c r="D32" s="15"/>
      <x:c r="E32" s="15"/>
      <x:c r="F32" s="15"/>
      <x:c r="G32" s="15"/>
      <x:c r="H32" s="15"/>
    </x:row>
    <x:row r="33" ht="31.5" customHeight="1">
      <x:c r="A33" s="16"/>
      <x:c r="B33" s="15"/>
      <x:c r="C33" s="15"/>
      <x:c r="D33" s="15"/>
      <x:c r="E33" s="15"/>
      <x:c r="F33" s="15"/>
      <x:c r="G33" s="15"/>
      <x:c r="H33" s="15"/>
    </x:row>
    <x:row r="34" ht="31.5" customHeight="1">
      <x:c r="A34" s="16"/>
      <x:c r="B34" s="15"/>
      <x:c r="C34" s="15"/>
      <x:c r="D34" s="15"/>
      <x:c r="E34" s="15"/>
      <x:c r="F34" s="15"/>
      <x:c r="G34" s="15"/>
      <x:c r="H34" s="15"/>
    </x:row>
    <x:row r="35" ht="31.5" customHeight="1">
      <x:c r="A35" s="16"/>
      <x:c r="B35" s="15"/>
      <x:c r="C35" s="15"/>
      <x:c r="D35" s="15"/>
      <x:c r="E35" s="15"/>
      <x:c r="F35" s="15"/>
      <x:c r="G35" s="15"/>
      <x:c r="H35" s="15"/>
    </x:row>
    <x:row r="36" ht="31.5" customHeight="1">
      <x:c r="A36" s="16"/>
      <x:c r="B36" s="15"/>
      <x:c r="C36" s="15"/>
      <x:c r="D36" s="15"/>
      <x:c r="E36" s="15"/>
      <x:c r="F36" s="15"/>
      <x:c r="G36" s="15"/>
      <x:c r="H36" s="15"/>
    </x:row>
    <x:row r="37" ht="31.5" customHeight="1">
      <x:c r="A37" s="16"/>
      <x:c r="B37" s="15"/>
      <x:c r="C37" s="15"/>
      <x:c r="D37" s="15"/>
      <x:c r="E37" s="15"/>
      <x:c r="F37" s="15"/>
      <x:c r="G37" s="15"/>
      <x:c r="H37" s="15"/>
    </x:row>
    <x:row r="38" ht="31.5" customHeight="1">
      <x:c r="A38" s="16"/>
      <x:c r="B38" s="15"/>
      <x:c r="C38" s="15"/>
      <x:c r="D38" s="15"/>
      <x:c r="E38" s="15"/>
      <x:c r="F38" s="15"/>
      <x:c r="G38" s="15"/>
      <x:c r="H38" s="15"/>
    </x:row>
    <x:row r="39" ht="31.5" customHeight="1">
      <x:c r="A39" s="16"/>
      <x:c r="B39" s="15"/>
      <x:c r="C39" s="15"/>
      <x:c r="D39" s="15"/>
      <x:c r="E39" s="15"/>
      <x:c r="F39" s="15"/>
      <x:c r="G39" s="15"/>
      <x:c r="H39" s="15"/>
    </x:row>
    <x:row r="40" ht="31.5" customHeight="1">
      <x:c r="A40" s="16"/>
      <x:c r="B40" s="15"/>
      <x:c r="C40" s="15"/>
      <x:c r="D40" s="15"/>
      <x:c r="E40" s="15"/>
      <x:c r="F40" s="15"/>
      <x:c r="G40" s="15"/>
      <x:c r="H40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1.110000610351562" hidden="0" customWidth="1"/>
    <x:col min="3" max="3" width="57.779998779296875" hidden="0" customWidth="1"/>
    <x:col min="4" max="4" width="20" hidden="0" customWidth="1"/>
    <x:col min="5" max="5" width="28.889999389648438" hidden="0" customWidth="1"/>
    <x:col min="6" max="6" width="7.78000020980835" hidden="0" customWidth="1"/>
  </x:cols>
  <x:sheetData>
    <x:row r="1">
      <x:c r="A1" s="4" t="str">
        <x:v>Follow-up Templates</x:v>
      </x:c>
      <x:c r="B1" s="4"/>
      <x:c r="C1" s="4"/>
      <x:c r="D1" s="4"/>
      <x:c r="E1" s="4"/>
      <x:c r="F1" s="4"/>
    </x:row>
    <x:row r="3">
      <x:c r="A3" s="10" t="str">
        <x:v>Stage</x:v>
      </x:c>
      <x:c r="B3" s="10" t="str">
        <x:v>When to Use</x:v>
      </x:c>
      <x:c r="C3" s="10" t="str">
        <x:v>Message Template</x:v>
      </x:c>
      <x:c r="D3" s="10" t="str">
        <x:v>Goal</x:v>
      </x:c>
      <x:c r="E3" s="10" t="str">
        <x:v>Owner Notes</x:v>
      </x:c>
      <x:c r="F3" s="10" t="str">
        <x:v>Use?</x:v>
      </x:c>
    </x:row>
    <x:row r="4" ht="43.5" customHeight="1">
      <x:c r="A4" s="15" t="str">
        <x:v>Responder reply</x:v>
      </x:c>
      <x:c r="B4" s="15" t="str">
        <x:v>Michelle / anyone who replies</x:v>
      </x:c>
      <x:c r="C4" s="15" t="str">
        <x:v>Thanks for the reply, {{first_name}}. Quick question: are missed leasing calls, tenant intake, or stale lead follow-up causing the most friction right now?</x:v>
      </x:c>
      <x:c r="D4" s="15" t="str">
        <x:v>Learn pain and book next step</x:v>
      </x:c>
      <x:c r="E4" s="15" t="str">
        <x:v>Customize with their exact reply before sending.</x:v>
      </x:c>
      <x:c r="F4" s="15" t="str">
        <x:v>Yes</x:v>
      </x:c>
    </x:row>
    <x:row r="5" ht="43.5" customHeight="1">
      <x:c r="A5" s="15" t="str">
        <x:v>No-response follow-up 1</x:v>
      </x:c>
      <x:c r="B5" s="15" t="str">
        <x:v>2-3 days after initial message</x:v>
      </x:c>
      <x:c r="C5" s="15" t="str">
        <x:v>Circling back, {{first_name}}. I help property managers keep leasing and tenant requests from slipping through the cracks with AI voice/SMS workflows. Worth a quick look?</x:v>
      </x:c>
      <x:c r="D5" s="15" t="str">
        <x:v>Restart conversation</x:v>
      </x:c>
      <x:c r="E5" s="15" t="str">
        <x:v>Keep it short and direct.</x:v>
      </x:c>
      <x:c r="F5" s="15" t="str">
        <x:v>Yes</x:v>
      </x:c>
    </x:row>
    <x:row r="6" ht="43.5" customHeight="1">
      <x:c r="A6" s="15" t="str">
        <x:v>No-response follow-up 2</x:v>
      </x:c>
      <x:c r="B6" s="15" t="str">
        <x:v>5-7 days after initial message</x:v>
      </x:c>
      <x:c r="C6" s="15" t="str">
        <x:v>{{first_name}}, should I close the loop here, or would it be useful if I sent a quick example of how the workflow handles missed leasing calls?</x:v>
      </x:c>
      <x:c r="D6" s="15" t="str">
        <x:v>Create either/or response</x:v>
      </x:c>
      <x:c r="E6" s="15" t="str">
        <x:v>Use only after no response to follow-up 1.</x:v>
      </x:c>
      <x:c r="F6" s="15" t="str">
        <x:v>Yes</x:v>
      </x:c>
    </x:row>
    <x:row r="7" ht="43.5" customHeight="1">
      <x:c r="A7" s="15" t="str">
        <x:v>Book meeting</x:v>
      </x:c>
      <x:c r="B7" s="15" t="str">
        <x:v>After positive reply</x:v>
      </x:c>
      <x:c r="C7" s="15" t="str">
        <x:v>Happy to show you. Would tomorrow afternoon or Thursday morning be easier for a 15-minute walkthrough?</x:v>
      </x:c>
      <x:c r="D7" s="15" t="str">
        <x:v>Schedule call</x:v>
      </x:c>
      <x:c r="E7" s="15" t="str">
        <x:v>Offer two clear windows.</x:v>
      </x:c>
      <x:c r="F7" s="15" t="str">
        <x:v>Yes</x:v>
      </x:c>
    </x:row>
    <x:row r="8" ht="43.5" customHeight="1">
      <x:c r="A8" s="15" t="str">
        <x:v>Not now</x:v>
      </x:c>
      <x:c r="B8" s="15" t="str">
        <x:v>Soft no / delayed timing</x:v>
      </x:c>
      <x:c r="C8" s="15" t="str">
        <x:v>Totally fair. I can check back later. Is there a better month to revisit missed-call and tenant-intake automation?</x:v>
      </x:c>
      <x:c r="D8" s="15" t="str">
        <x:v>Get timing</x:v>
      </x:c>
      <x:c r="E8" s="15" t="str">
        <x:v>Log the revisit month in Contacts.</x:v>
      </x:c>
      <x:c r="F8" s="15" t="str">
        <x:v>Yes</x:v>
      </x:c>
    </x:row>
    <x:row r="9" ht="43.5" customHeight="1">
      <x:c r="A9" s="15"/>
      <x:c r="B9" s="15"/>
      <x:c r="C9" s="15"/>
      <x:c r="D9" s="15"/>
      <x:c r="E9" s="15"/>
      <x:c r="F9" s="15"/>
    </x:row>
    <x:row r="10" ht="43.5" customHeight="1">
      <x:c r="A10" s="15"/>
      <x:c r="B10" s="15"/>
      <x:c r="C10" s="15"/>
      <x:c r="D10" s="15"/>
      <x:c r="E10" s="15"/>
      <x:c r="F10" s="15"/>
    </x:row>
    <x:row r="11" ht="43.5" customHeight="1">
      <x:c r="A11" s="15"/>
      <x:c r="B11" s="15"/>
      <x:c r="C11" s="15"/>
      <x:c r="D11" s="15"/>
      <x:c r="E11" s="15"/>
      <x:c r="F11" s="15"/>
    </x:row>
    <x:row r="12" ht="43.5" customHeight="1">
      <x:c r="A12" s="15"/>
      <x:c r="B12" s="15"/>
      <x:c r="C12" s="15"/>
      <x:c r="D12" s="15"/>
      <x:c r="E12" s="15"/>
      <x:c r="F12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1.109999656677246" hidden="0" customWidth="1"/>
    <x:col min="3" max="3" width="11.109999656677246" hidden="0" customWidth="1"/>
    <x:col min="4" max="4" width="18.889999389648438" hidden="0" customWidth="1"/>
  </x:cols>
  <x:sheetData>
    <x:row r="1">
      <x:c r="A1" s="4" t="str">
        <x:v>CRM Lists</x:v>
      </x:c>
      <x:c r="B1" s="4"/>
      <x:c r="C1" s="4"/>
      <x:c r="D1" s="4"/>
    </x:row>
    <x:row r="3">
      <x:c r="A3" s="10" t="str">
        <x:v>Status</x:v>
      </x:c>
      <x:c r="B3" s="10" t="str">
        <x:v>Priority</x:v>
      </x:c>
      <x:c r="C3" s="10" t="str">
        <x:v>Channel</x:v>
      </x:c>
      <x:c r="D3" s="10" t="str">
        <x:v>Touch Type</x:v>
      </x:c>
    </x:row>
    <x:row r="4">
      <x:c r="A4" s="15" t="str">
        <x:v>Pending Follow-up</x:v>
      </x:c>
      <x:c r="B4" s="15" t="str">
        <x:v>High</x:v>
      </x:c>
      <x:c r="C4" s="15" t="str">
        <x:v>LinkedIn</x:v>
      </x:c>
      <x:c r="D4" s="15" t="str">
        <x:v>Connection follow-up</x:v>
      </x:c>
    </x:row>
    <x:row r="5">
      <x:c r="A5" s="15" t="str">
        <x:v>Responded</x:v>
      </x:c>
      <x:c r="B5" s="15" t="str">
        <x:v>Medium</x:v>
      </x:c>
      <x:c r="C5" s="15" t="str">
        <x:v>Email</x:v>
      </x:c>
      <x:c r="D5" s="15" t="str">
        <x:v>Reply</x:v>
      </x:c>
    </x:row>
    <x:row r="6">
      <x:c r="A6" s="15" t="str">
        <x:v>Meeting Booked</x:v>
      </x:c>
      <x:c r="B6" s="15" t="str">
        <x:v>Low</x:v>
      </x:c>
      <x:c r="C6" s="15" t="str">
        <x:v>Phone</x:v>
      </x:c>
      <x:c r="D6" s="15" t="str">
        <x:v>Discovery call</x:v>
      </x:c>
    </x:row>
    <x:row r="7">
      <x:c r="A7" s="15" t="str">
        <x:v>Nurture</x:v>
      </x:c>
      <x:c r="B7" s="15" t="str"/>
      <x:c r="C7" s="15" t="str">
        <x:v>SMS</x:v>
      </x:c>
      <x:c r="D7" s="15" t="str">
        <x:v>Follow-up</x:v>
      </x:c>
    </x:row>
    <x:row r="8">
      <x:c r="A8" s="15" t="str">
        <x:v>Not Interested</x:v>
      </x:c>
      <x:c r="B8" s="15" t="str"/>
      <x:c r="C8" s="15" t="str"/>
      <x:c r="D8" s="15" t="str">
        <x:v>Check-in</x:v>
      </x:c>
    </x:row>
    <x:row r="9">
      <x:c r="A9" s="15" t="str">
        <x:v>Do Not Contact</x:v>
      </x:c>
      <x:c r="B9" s="15" t="str"/>
      <x:c r="C9" s="15" t="str"/>
      <x:c r="D9" s="15" t="str"/>
    </x:row>
    <x:row r="10">
      <x:c r="A10" s="15" t="str">
        <x:v>Closed Won</x:v>
      </x:c>
      <x:c r="B10" s="15" t="str"/>
      <x:c r="C10" s="15" t="str"/>
      <x:c r="D10" s="15" t="str"/>
    </x:row>
  </x:sheetData>
  <x:pageMargins left="0.7" right="0.7" top="0.75" bottom="0.75" header="0.3" footer="0.3"/>
</x:worksheet>
</file>